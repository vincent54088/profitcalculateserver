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Codes\ReportCalculationTool\assert\"/>
    </mc:Choice>
  </mc:AlternateContent>
  <xr:revisionPtr revIDLastSave="0" documentId="13_ncr:1_{086A521F-82B5-4C91-928F-E5185623B7A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8" i="1" l="1"/>
  <c r="AF28" i="1"/>
  <c r="AG27" i="1"/>
  <c r="AF27" i="1"/>
  <c r="AC6" i="1"/>
  <c r="X6" i="1"/>
  <c r="AE6" i="1" s="1"/>
  <c r="W6" i="1"/>
  <c r="AB6" i="1" s="1"/>
  <c r="T6" i="1"/>
  <c r="U6" i="1" s="1"/>
  <c r="AD6" i="1" s="1"/>
  <c r="AB5" i="1"/>
  <c r="Z5" i="1"/>
  <c r="W5" i="1"/>
  <c r="X5" i="1" s="1"/>
  <c r="T5" i="1"/>
  <c r="U5" i="1" s="1"/>
  <c r="AD5" i="1" s="1"/>
  <c r="AC4" i="1"/>
  <c r="Z4" i="1"/>
  <c r="X4" i="1"/>
  <c r="AE4" i="1" s="1"/>
  <c r="AG4" i="1" s="1"/>
  <c r="W4" i="1"/>
  <c r="AB4" i="1" s="1"/>
  <c r="T4" i="1"/>
  <c r="U4" i="1" s="1"/>
  <c r="AD4" i="1" s="1"/>
  <c r="W3" i="1"/>
  <c r="AB3" i="1" s="1"/>
  <c r="T3" i="1"/>
  <c r="U3" i="1" s="1"/>
  <c r="AD3" i="1" s="1"/>
  <c r="AD29" i="1" s="1"/>
  <c r="AG6" i="1" l="1"/>
  <c r="AA5" i="1"/>
  <c r="AF5" i="1" s="1"/>
  <c r="AE5" i="1"/>
  <c r="AG5" i="1" s="1"/>
  <c r="AC5" i="1"/>
  <c r="Z6" i="1"/>
  <c r="AA6" i="1"/>
  <c r="AF6" i="1" s="1"/>
  <c r="Z3" i="1"/>
  <c r="AA4" i="1"/>
  <c r="AF4" i="1" s="1"/>
  <c r="X3" i="1"/>
  <c r="AC3" i="1" l="1"/>
  <c r="AA3" i="1"/>
  <c r="AF3" i="1" s="1"/>
  <c r="AE3" i="1"/>
  <c r="AE29" i="1" l="1"/>
  <c r="AG3" i="1"/>
  <c r="AG29" i="1" l="1"/>
  <c r="AF29" i="1"/>
</calcChain>
</file>

<file path=xl/sharedStrings.xml><?xml version="1.0" encoding="utf-8"?>
<sst xmlns="http://schemas.openxmlformats.org/spreadsheetml/2006/main" count="173" uniqueCount="66">
  <si>
    <t>状态</t>
    <phoneticPr fontId="5" type="noConversion"/>
  </si>
  <si>
    <t>基础信息</t>
    <phoneticPr fontId="5" type="noConversion"/>
  </si>
  <si>
    <t>项目信息</t>
    <phoneticPr fontId="5" type="noConversion"/>
  </si>
  <si>
    <t>硬件信息</t>
    <phoneticPr fontId="5" type="noConversion"/>
  </si>
  <si>
    <t>发货量信息</t>
    <phoneticPr fontId="5" type="noConversion"/>
  </si>
  <si>
    <t>商务信息</t>
    <phoneticPr fontId="5" type="noConversion"/>
  </si>
  <si>
    <t>变化统计</t>
    <phoneticPr fontId="5" type="noConversion"/>
  </si>
  <si>
    <t>涨价信息</t>
    <phoneticPr fontId="5" type="noConversion"/>
  </si>
  <si>
    <t>备注</t>
    <phoneticPr fontId="5" type="noConversion"/>
  </si>
  <si>
    <t>区域</t>
    <phoneticPr fontId="5" type="noConversion"/>
  </si>
  <si>
    <t>代表处</t>
    <phoneticPr fontId="5" type="noConversion"/>
  </si>
  <si>
    <t>国家</t>
    <phoneticPr fontId="5" type="noConversion"/>
  </si>
  <si>
    <t>客户群</t>
    <phoneticPr fontId="5" type="noConversion"/>
  </si>
  <si>
    <t>项目</t>
    <phoneticPr fontId="5" type="noConversion"/>
  </si>
  <si>
    <t>合同号</t>
    <phoneticPr fontId="5" type="noConversion"/>
  </si>
  <si>
    <t>PO号</t>
    <phoneticPr fontId="5" type="noConversion"/>
  </si>
  <si>
    <t>销毛</t>
    <phoneticPr fontId="5" type="noConversion"/>
  </si>
  <si>
    <t>软硬件分类</t>
    <phoneticPr fontId="5" type="noConversion"/>
  </si>
  <si>
    <t>硬件类型</t>
    <phoneticPr fontId="5" type="noConversion"/>
  </si>
  <si>
    <t>型号</t>
    <phoneticPr fontId="11" type="noConversion"/>
  </si>
  <si>
    <t>编码</t>
  </si>
  <si>
    <t>编码描述</t>
    <phoneticPr fontId="1" type="noConversion"/>
  </si>
  <si>
    <t>使用场景</t>
    <phoneticPr fontId="5" type="noConversion"/>
  </si>
  <si>
    <t>数量</t>
    <phoneticPr fontId="5" type="noConversion"/>
  </si>
  <si>
    <t>预计收入触发时间</t>
    <phoneticPr fontId="5" type="noConversion"/>
  </si>
  <si>
    <t>币种</t>
    <phoneticPr fontId="11" type="noConversion"/>
  </si>
  <si>
    <t>26年目录价</t>
    <phoneticPr fontId="11" type="noConversion"/>
  </si>
  <si>
    <t>提价前-价位</t>
    <phoneticPr fontId="5" type="noConversion"/>
  </si>
  <si>
    <t>提价前-价格</t>
    <phoneticPr fontId="5" type="noConversion"/>
  </si>
  <si>
    <t>优惠说明(前）</t>
    <phoneticPr fontId="5" type="noConversion"/>
  </si>
  <si>
    <t>提价后-价位</t>
    <phoneticPr fontId="5" type="noConversion"/>
  </si>
  <si>
    <t>提价后-价格</t>
    <phoneticPr fontId="5" type="noConversion"/>
  </si>
  <si>
    <t>优惠说明(后）</t>
    <phoneticPr fontId="5" type="noConversion"/>
  </si>
  <si>
    <t>价位提价</t>
    <phoneticPr fontId="5" type="noConversion"/>
  </si>
  <si>
    <t>价格提价</t>
    <phoneticPr fontId="5" type="noConversion"/>
  </si>
  <si>
    <t>提价后-价位折扣率</t>
    <phoneticPr fontId="5" type="noConversion"/>
  </si>
  <si>
    <t>提价后-价格折扣率</t>
    <phoneticPr fontId="5" type="noConversion"/>
  </si>
  <si>
    <t>提价前-总价</t>
    <phoneticPr fontId="5" type="noConversion"/>
  </si>
  <si>
    <t>提价后-总价</t>
    <phoneticPr fontId="5" type="noConversion"/>
  </si>
  <si>
    <t>总价上涨</t>
    <phoneticPr fontId="5" type="noConversion"/>
  </si>
  <si>
    <t>涨价%</t>
    <phoneticPr fontId="5" type="noConversion"/>
  </si>
  <si>
    <t>签单</t>
    <phoneticPr fontId="5" type="noConversion"/>
  </si>
  <si>
    <t>亚太</t>
    <phoneticPr fontId="5" type="noConversion"/>
  </si>
  <si>
    <t>泰国代表处</t>
    <phoneticPr fontId="5" type="noConversion"/>
  </si>
  <si>
    <t>泰国</t>
    <phoneticPr fontId="5" type="noConversion"/>
  </si>
  <si>
    <t>5GC扩容</t>
    <phoneticPr fontId="5" type="noConversion"/>
  </si>
  <si>
    <t>xxx</t>
    <phoneticPr fontId="5" type="noConversion"/>
  </si>
  <si>
    <t>硬件</t>
    <phoneticPr fontId="5" type="noConversion"/>
  </si>
  <si>
    <t>服务器</t>
    <phoneticPr fontId="5" type="noConversion"/>
  </si>
  <si>
    <t>920C-64C</t>
    <phoneticPr fontId="11" type="noConversion"/>
  </si>
  <si>
    <t>02314YSD</t>
    <phoneticPr fontId="11" type="noConversion"/>
  </si>
  <si>
    <t>功能模块-E9000H-E9KHDMCM101-CM221 V2 计算节点((2*Kunpeng 920 7260N,64 Core@2.2GHz),16*64GB内存,2*960GB SAS SSD,10*10GE/25GE,TPM2.0)-海外(E1)</t>
  </si>
  <si>
    <t>C面中心云计算节点</t>
  </si>
  <si>
    <t>6月</t>
    <phoneticPr fontId="5" type="noConversion"/>
  </si>
  <si>
    <t>USD</t>
    <phoneticPr fontId="5" type="noConversion"/>
  </si>
  <si>
    <t>02314YSL</t>
    <phoneticPr fontId="11" type="noConversion"/>
  </si>
  <si>
    <t>功能模块-E9000H-E9KHDMCM102-CM221 V2 控制节点((2*Kunpeng 920 7260N,64 Core@2.2GHz),8*64GB内存,2*1.92TB SAS SSD,6*10GE/25GE,TPM2.0）-海外(E2)</t>
  </si>
  <si>
    <t>C面中心云控制节点</t>
  </si>
  <si>
    <t>02314YSN</t>
    <phoneticPr fontId="11" type="noConversion"/>
  </si>
  <si>
    <t>功能模块-E9000H-E9KHDMCM103-CM221 V2 计算节点((2*Kunpeng 920 7260N,64 Core@2.2GHz),12*64GB内存,2*960GB SAS SSD,4*10GE/25GE,4*100GE,TPM2.0,内置交换)-海外(E3)</t>
  </si>
  <si>
    <t xml:space="preserve">U面下沉和U面中心云计算节点 </t>
  </si>
  <si>
    <t>02315ETY</t>
    <phoneticPr fontId="11" type="noConversion"/>
  </si>
  <si>
    <t>功能模块-E9000H-E9KHDMCM067-CM221 通用节点((2*Kunpeng 920,64 Core@2.6GHz),16*32G内存,6*10GE/25GE,TPM2.0)-海外(B4-5)</t>
  </si>
  <si>
    <t>其他</t>
    <phoneticPr fontId="5" type="noConversion"/>
  </si>
  <si>
    <t>软件</t>
    <phoneticPr fontId="5" type="noConversion"/>
  </si>
  <si>
    <t>服务器汇总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</si>
</sst>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-* #,##0.00_-;\-* #,##0.00_-;_-* &quot;-&quot;??_-;_-@_-"/>
    <numFmt numFmtId="177" formatCode="_-* #,##0_-;\-* #,##0_-;_-* &quot;-&quot;??_-;_-@_-"/>
    <numFmt numFmtId="178" formatCode="_ * #,##0_ ;_ * \-#,##0_ ;_ * &quot;-&quot;??_ ;_ @_ "/>
  </numFmts>
  <fonts count="15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0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indexed="8"/>
      <name val="宋体"/>
      <family val="2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3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 wrapText="1" readingOrder="1"/>
    </xf>
    <xf numFmtId="0" fontId="10" fillId="0" borderId="11" xfId="3" applyFont="1" applyBorder="1" applyAlignment="1">
      <alignment horizontal="center" vertical="center" wrapText="1" readingOrder="1"/>
    </xf>
    <xf numFmtId="0" fontId="10" fillId="0" borderId="12" xfId="3" applyFont="1" applyBorder="1" applyAlignment="1">
      <alignment horizontal="center" vertical="center" wrapText="1" readingOrder="1"/>
    </xf>
    <xf numFmtId="0" fontId="10" fillId="0" borderId="9" xfId="3" applyFont="1" applyBorder="1" applyAlignment="1">
      <alignment horizontal="center" vertical="center" wrapText="1" readingOrder="1"/>
    </xf>
    <xf numFmtId="176" fontId="10" fillId="0" borderId="8" xfId="4" applyFont="1" applyBorder="1" applyAlignment="1">
      <alignment horizontal="center" vertical="center" wrapText="1" readingOrder="1"/>
    </xf>
    <xf numFmtId="176" fontId="10" fillId="0" borderId="8" xfId="4" applyFont="1" applyFill="1" applyBorder="1" applyAlignment="1">
      <alignment horizontal="center" vertical="center" wrapText="1" readingOrder="1"/>
    </xf>
    <xf numFmtId="0" fontId="10" fillId="0" borderId="8" xfId="3" applyFont="1" applyBorder="1" applyAlignment="1">
      <alignment horizontal="center" vertical="center" readingOrder="1"/>
    </xf>
    <xf numFmtId="0" fontId="10" fillId="0" borderId="10" xfId="3" applyFont="1" applyBorder="1" applyAlignment="1">
      <alignment horizontal="center" vertical="center" readingOrder="1"/>
    </xf>
    <xf numFmtId="0" fontId="4" fillId="9" borderId="8" xfId="0" applyFont="1" applyFill="1" applyBorder="1" applyAlignment="1">
      <alignment horizontal="center" vertical="center"/>
    </xf>
    <xf numFmtId="0" fontId="10" fillId="9" borderId="8" xfId="3" applyFont="1" applyFill="1" applyBorder="1" applyAlignment="1">
      <alignment horizontal="center" vertical="center" readingOrder="1"/>
    </xf>
    <xf numFmtId="0" fontId="8" fillId="9" borderId="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12" fillId="8" borderId="11" xfId="0" applyFont="1" applyFill="1" applyBorder="1">
      <alignment vertical="center"/>
    </xf>
    <xf numFmtId="0" fontId="4" fillId="8" borderId="12" xfId="0" applyFont="1" applyFill="1" applyBorder="1">
      <alignment vertical="center"/>
    </xf>
    <xf numFmtId="0" fontId="12" fillId="8" borderId="9" xfId="0" applyFont="1" applyFill="1" applyBorder="1" applyAlignment="1">
      <alignment horizontal="center" vertical="center"/>
    </xf>
    <xf numFmtId="0" fontId="4" fillId="9" borderId="9" xfId="0" applyFont="1" applyFill="1" applyBorder="1">
      <alignment vertical="center"/>
    </xf>
    <xf numFmtId="177" fontId="12" fillId="8" borderId="8" xfId="4" applyNumberFormat="1" applyFont="1" applyFill="1" applyBorder="1">
      <alignment vertical="center"/>
    </xf>
    <xf numFmtId="177" fontId="12" fillId="8" borderId="8" xfId="0" applyNumberFormat="1" applyFont="1" applyFill="1" applyBorder="1">
      <alignment vertical="center"/>
    </xf>
    <xf numFmtId="177" fontId="12" fillId="8" borderId="10" xfId="0" applyNumberFormat="1" applyFont="1" applyFill="1" applyBorder="1">
      <alignment vertical="center"/>
    </xf>
    <xf numFmtId="177" fontId="4" fillId="9" borderId="8" xfId="1" applyNumberFormat="1" applyFont="1" applyFill="1" applyBorder="1" applyAlignment="1">
      <alignment horizontal="center" vertical="center"/>
    </xf>
    <xf numFmtId="9" fontId="4" fillId="9" borderId="8" xfId="2" applyFont="1" applyFill="1" applyBorder="1" applyAlignment="1">
      <alignment vertical="center"/>
    </xf>
    <xf numFmtId="178" fontId="4" fillId="9" borderId="8" xfId="0" applyNumberFormat="1" applyFont="1" applyFill="1" applyBorder="1">
      <alignment vertical="center"/>
    </xf>
    <xf numFmtId="9" fontId="13" fillId="9" borderId="8" xfId="2" applyFont="1" applyFill="1" applyBorder="1">
      <alignment vertical="center"/>
    </xf>
    <xf numFmtId="0" fontId="10" fillId="8" borderId="8" xfId="0" applyFont="1" applyFill="1" applyBorder="1" applyAlignment="1">
      <alignment horizontal="left" vertical="center" wrapText="1"/>
    </xf>
    <xf numFmtId="0" fontId="4" fillId="8" borderId="7" xfId="0" applyFont="1" applyFill="1" applyBorder="1">
      <alignment vertical="center"/>
    </xf>
    <xf numFmtId="0" fontId="4" fillId="8" borderId="8" xfId="0" applyFont="1" applyFill="1" applyBorder="1">
      <alignment vertical="center"/>
    </xf>
    <xf numFmtId="0" fontId="4" fillId="8" borderId="10" xfId="0" applyFont="1" applyFill="1" applyBorder="1">
      <alignment vertical="center"/>
    </xf>
    <xf numFmtId="0" fontId="4" fillId="8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vertical="center" wrapText="1"/>
    </xf>
    <xf numFmtId="0" fontId="4" fillId="8" borderId="11" xfId="0" applyFont="1" applyFill="1" applyBorder="1">
      <alignment vertical="center"/>
    </xf>
    <xf numFmtId="0" fontId="4" fillId="8" borderId="9" xfId="0" applyFont="1" applyFill="1" applyBorder="1" applyAlignment="1">
      <alignment horizontal="center" vertical="center"/>
    </xf>
    <xf numFmtId="176" fontId="4" fillId="8" borderId="8" xfId="4" applyFont="1" applyFill="1" applyBorder="1">
      <alignment vertical="center"/>
    </xf>
    <xf numFmtId="176" fontId="4" fillId="8" borderId="8" xfId="0" applyNumberFormat="1" applyFont="1" applyFill="1" applyBorder="1">
      <alignment vertical="center"/>
    </xf>
    <xf numFmtId="178" fontId="4" fillId="9" borderId="8" xfId="1" applyNumberFormat="1" applyFont="1" applyFill="1" applyBorder="1" applyAlignment="1">
      <alignment horizontal="center" vertical="center"/>
    </xf>
    <xf numFmtId="0" fontId="13" fillId="9" borderId="8" xfId="0" applyFont="1" applyFill="1" applyBorder="1">
      <alignment vertical="center"/>
    </xf>
    <xf numFmtId="9" fontId="4" fillId="8" borderId="8" xfId="0" applyNumberFormat="1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8" xfId="0" applyFont="1" applyFill="1" applyBorder="1">
      <alignment vertical="center"/>
    </xf>
    <xf numFmtId="0" fontId="4" fillId="11" borderId="11" xfId="0" applyFont="1" applyFill="1" applyBorder="1">
      <alignment vertical="center"/>
    </xf>
    <xf numFmtId="0" fontId="4" fillId="11" borderId="12" xfId="0" applyFont="1" applyFill="1" applyBorder="1">
      <alignment vertical="center"/>
    </xf>
    <xf numFmtId="0" fontId="4" fillId="11" borderId="9" xfId="0" applyFont="1" applyFill="1" applyBorder="1" applyAlignment="1">
      <alignment horizontal="center" vertical="center"/>
    </xf>
    <xf numFmtId="178" fontId="4" fillId="11" borderId="8" xfId="1" applyNumberFormat="1" applyFont="1" applyFill="1" applyBorder="1" applyAlignment="1">
      <alignment horizontal="center" vertical="center"/>
    </xf>
    <xf numFmtId="9" fontId="4" fillId="11" borderId="8" xfId="2" applyFont="1" applyFill="1" applyBorder="1" applyAlignment="1">
      <alignment vertical="center"/>
    </xf>
    <xf numFmtId="9" fontId="14" fillId="8" borderId="8" xfId="0" applyNumberFormat="1" applyFont="1" applyFill="1" applyBorder="1" applyAlignment="1">
      <alignment horizontal="center" vertical="center"/>
    </xf>
    <xf numFmtId="178" fontId="12" fillId="9" borderId="8" xfId="0" applyNumberFormat="1" applyFont="1" applyFill="1" applyBorder="1">
      <alignment vertical="center"/>
    </xf>
    <xf numFmtId="9" fontId="14" fillId="9" borderId="8" xfId="2" applyFont="1" applyFill="1" applyBorder="1">
      <alignment vertical="center"/>
    </xf>
    <xf numFmtId="0" fontId="4" fillId="9" borderId="8" xfId="0" applyFont="1" applyFill="1" applyBorder="1">
      <alignment vertical="center"/>
    </xf>
    <xf numFmtId="0" fontId="4" fillId="9" borderId="7" xfId="0" applyFont="1" applyFill="1" applyBorder="1" applyAlignment="1">
      <alignment horizontal="center" vertical="center"/>
    </xf>
    <xf numFmtId="178" fontId="4" fillId="9" borderId="8" xfId="1" applyNumberFormat="1" applyFont="1" applyFill="1" applyBorder="1">
      <alignment vertical="center"/>
    </xf>
    <xf numFmtId="178" fontId="13" fillId="9" borderId="8" xfId="0" applyNumberFormat="1" applyFont="1" applyFill="1" applyBorder="1">
      <alignment vertical="center"/>
    </xf>
    <xf numFmtId="9" fontId="12" fillId="8" borderId="8" xfId="0" applyNumberFormat="1" applyFont="1" applyFill="1" applyBorder="1" applyAlignment="1">
      <alignment horizontal="center" vertical="center"/>
    </xf>
  </cellXfs>
  <cellStyles count="5">
    <cellStyle name="百分比" xfId="2" builtinId="5"/>
    <cellStyle name="常规" xfId="0" builtinId="0" customBuiltin="1"/>
    <cellStyle name="常规 2" xfId="3" xr:uid="{D6D2680A-860F-4A72-BEDC-6E03BF6C951B}"/>
    <cellStyle name="千位分隔" xfId="1" builtinId="3"/>
    <cellStyle name="千位分隔 3" xfId="4" xr:uid="{B33178C3-1D62-478A-ACC1-6F03B99F4F4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"/>
  <sheetViews>
    <sheetView tabSelected="1" zoomScaleNormal="100" workbookViewId="0">
      <selection activeCell="J38" sqref="J38"/>
    </sheetView>
  </sheetViews>
  <sheetFormatPr defaultRowHeight="13.5" x14ac:dyDescent="0.15"/>
  <cols>
    <col min="19" max="19" width="12" customWidth="1"/>
  </cols>
  <sheetData>
    <row r="1" spans="1:34" ht="16.5" x14ac:dyDescent="0.15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6"/>
      <c r="I1" s="6"/>
      <c r="J1" s="7"/>
      <c r="K1" s="8" t="s">
        <v>3</v>
      </c>
      <c r="L1" s="9"/>
      <c r="M1" s="9"/>
      <c r="N1" s="10"/>
      <c r="O1" s="11"/>
      <c r="P1" s="12" t="s">
        <v>4</v>
      </c>
      <c r="Q1" s="13"/>
      <c r="R1" s="14" t="s">
        <v>5</v>
      </c>
      <c r="S1" s="15"/>
      <c r="T1" s="15"/>
      <c r="U1" s="15"/>
      <c r="V1" s="15"/>
      <c r="W1" s="15"/>
      <c r="X1" s="15"/>
      <c r="Y1" s="15"/>
      <c r="Z1" s="16" t="s">
        <v>6</v>
      </c>
      <c r="AA1" s="17"/>
      <c r="AB1" s="17"/>
      <c r="AC1" s="17"/>
      <c r="AD1" s="18" t="s">
        <v>7</v>
      </c>
      <c r="AE1" s="18"/>
      <c r="AF1" s="18"/>
      <c r="AG1" s="18"/>
      <c r="AH1" s="19" t="s">
        <v>8</v>
      </c>
    </row>
    <row r="2" spans="1:34" ht="33" x14ac:dyDescent="0.15">
      <c r="A2" s="20" t="s">
        <v>0</v>
      </c>
      <c r="B2" s="21" t="s">
        <v>9</v>
      </c>
      <c r="C2" s="20" t="s">
        <v>10</v>
      </c>
      <c r="D2" s="20" t="s">
        <v>11</v>
      </c>
      <c r="E2" s="22" t="s">
        <v>12</v>
      </c>
      <c r="F2" s="20" t="s">
        <v>13</v>
      </c>
      <c r="G2" s="20" t="s">
        <v>14</v>
      </c>
      <c r="H2" s="20" t="s">
        <v>15</v>
      </c>
      <c r="I2" s="20" t="s">
        <v>16</v>
      </c>
      <c r="J2" s="20" t="s">
        <v>17</v>
      </c>
      <c r="K2" s="23" t="s">
        <v>18</v>
      </c>
      <c r="L2" s="24" t="s">
        <v>19</v>
      </c>
      <c r="M2" s="24" t="s">
        <v>20</v>
      </c>
      <c r="N2" s="25" t="s">
        <v>21</v>
      </c>
      <c r="O2" s="26" t="s">
        <v>22</v>
      </c>
      <c r="P2" s="26" t="s">
        <v>23</v>
      </c>
      <c r="Q2" s="26" t="s">
        <v>24</v>
      </c>
      <c r="R2" s="27" t="s">
        <v>25</v>
      </c>
      <c r="S2" s="28" t="s">
        <v>26</v>
      </c>
      <c r="T2" s="29" t="s">
        <v>27</v>
      </c>
      <c r="U2" s="24" t="s">
        <v>28</v>
      </c>
      <c r="V2" s="30" t="s">
        <v>29</v>
      </c>
      <c r="W2" s="24" t="s">
        <v>30</v>
      </c>
      <c r="X2" s="24" t="s">
        <v>31</v>
      </c>
      <c r="Y2" s="31" t="s">
        <v>32</v>
      </c>
      <c r="Z2" s="32" t="s">
        <v>33</v>
      </c>
      <c r="AA2" s="32" t="s">
        <v>34</v>
      </c>
      <c r="AB2" s="33" t="s">
        <v>35</v>
      </c>
      <c r="AC2" s="33" t="s">
        <v>36</v>
      </c>
      <c r="AD2" s="34" t="s">
        <v>37</v>
      </c>
      <c r="AE2" s="34" t="s">
        <v>38</v>
      </c>
      <c r="AF2" s="34" t="s">
        <v>39</v>
      </c>
      <c r="AG2" s="34" t="s">
        <v>40</v>
      </c>
      <c r="AH2" s="19"/>
    </row>
    <row r="3" spans="1:34" ht="16.5" x14ac:dyDescent="0.15">
      <c r="A3" s="35" t="s">
        <v>41</v>
      </c>
      <c r="B3" s="36" t="s">
        <v>42</v>
      </c>
      <c r="C3" s="37" t="s">
        <v>43</v>
      </c>
      <c r="D3" s="37" t="s">
        <v>44</v>
      </c>
      <c r="E3" s="38" t="b">
        <v>1</v>
      </c>
      <c r="F3" s="37" t="s">
        <v>45</v>
      </c>
      <c r="G3" s="37" t="s">
        <v>46</v>
      </c>
      <c r="H3" s="37" t="s">
        <v>46</v>
      </c>
      <c r="I3" s="78">
        <v>0.56000000000000005</v>
      </c>
      <c r="J3" s="32" t="s">
        <v>47</v>
      </c>
      <c r="K3" s="39" t="s">
        <v>48</v>
      </c>
      <c r="L3" s="37" t="s">
        <v>49</v>
      </c>
      <c r="M3" s="37" t="s">
        <v>50</v>
      </c>
      <c r="N3" s="40" t="s">
        <v>51</v>
      </c>
      <c r="O3" s="41" t="s">
        <v>52</v>
      </c>
      <c r="P3" s="42">
        <v>44</v>
      </c>
      <c r="Q3" s="42" t="s">
        <v>53</v>
      </c>
      <c r="R3" s="43" t="s">
        <v>54</v>
      </c>
      <c r="S3" s="44">
        <v>176318</v>
      </c>
      <c r="T3" s="44">
        <f>76418*45%</f>
        <v>34388.1</v>
      </c>
      <c r="U3" s="44">
        <f>T3*60%</f>
        <v>20632.859999999997</v>
      </c>
      <c r="V3" s="45"/>
      <c r="W3" s="44">
        <f>S3*45%</f>
        <v>79343.100000000006</v>
      </c>
      <c r="X3" s="44">
        <f>W3*60%</f>
        <v>47605.86</v>
      </c>
      <c r="Y3" s="46"/>
      <c r="Z3" s="47">
        <f>W3-T3</f>
        <v>44955.000000000007</v>
      </c>
      <c r="AA3" s="47">
        <f>X3-U3</f>
        <v>26973.000000000004</v>
      </c>
      <c r="AB3" s="48">
        <f t="shared" ref="AB3:AB6" si="0">W3/S3</f>
        <v>0.45</v>
      </c>
      <c r="AC3" s="48">
        <f t="shared" ref="AC3:AC6" si="1">X3/S3</f>
        <v>0.27</v>
      </c>
      <c r="AD3" s="49">
        <f>U3*$P3</f>
        <v>907845.83999999985</v>
      </c>
      <c r="AE3" s="49">
        <f>X3*$P3</f>
        <v>2094657.84</v>
      </c>
      <c r="AF3" s="49">
        <f>AA3*$P3</f>
        <v>1186812.0000000002</v>
      </c>
      <c r="AG3" s="50">
        <f>AE3/AD3-1</f>
        <v>1.3072836242770034</v>
      </c>
      <c r="AH3" s="51"/>
    </row>
    <row r="4" spans="1:34" ht="16.5" x14ac:dyDescent="0.15">
      <c r="A4" s="35" t="s">
        <v>41</v>
      </c>
      <c r="B4" s="52"/>
      <c r="C4" s="53"/>
      <c r="D4" s="53"/>
      <c r="E4" s="54"/>
      <c r="F4" s="55"/>
      <c r="G4" s="55"/>
      <c r="H4" s="55"/>
      <c r="I4" s="55"/>
      <c r="J4" s="32" t="s">
        <v>47</v>
      </c>
      <c r="K4" s="39" t="s">
        <v>48</v>
      </c>
      <c r="L4" s="37" t="s">
        <v>49</v>
      </c>
      <c r="M4" s="37" t="s">
        <v>55</v>
      </c>
      <c r="N4" s="40" t="s">
        <v>56</v>
      </c>
      <c r="O4" s="41" t="s">
        <v>57</v>
      </c>
      <c r="P4" s="42">
        <v>9</v>
      </c>
      <c r="Q4" s="42" t="s">
        <v>53</v>
      </c>
      <c r="R4" s="43" t="s">
        <v>54</v>
      </c>
      <c r="S4" s="44">
        <v>124484</v>
      </c>
      <c r="T4" s="44">
        <f>65606*45%</f>
        <v>29522.7</v>
      </c>
      <c r="U4" s="44">
        <f t="shared" ref="U4:U6" si="2">T4*60%</f>
        <v>17713.62</v>
      </c>
      <c r="V4" s="45"/>
      <c r="W4" s="44">
        <f t="shared" ref="W4:W6" si="3">S4*45%</f>
        <v>56017.8</v>
      </c>
      <c r="X4" s="44">
        <f t="shared" ref="X4:X6" si="4">W4*60%</f>
        <v>33610.68</v>
      </c>
      <c r="Y4" s="46"/>
      <c r="Z4" s="47">
        <f t="shared" ref="Z4:AA6" si="5">W4-T4</f>
        <v>26495.100000000002</v>
      </c>
      <c r="AA4" s="47">
        <f t="shared" si="5"/>
        <v>15897.060000000001</v>
      </c>
      <c r="AB4" s="48">
        <f t="shared" si="0"/>
        <v>0.45</v>
      </c>
      <c r="AC4" s="48">
        <f t="shared" si="1"/>
        <v>0.27</v>
      </c>
      <c r="AD4" s="49">
        <f t="shared" ref="AD4:AD6" si="6">U4*$P4</f>
        <v>159422.57999999999</v>
      </c>
      <c r="AE4" s="49">
        <f t="shared" ref="AE4:AE6" si="7">X4*$P4</f>
        <v>302496.12</v>
      </c>
      <c r="AF4" s="49">
        <f t="shared" ref="AF4:AF6" si="8">AA4*$P4</f>
        <v>143073.54</v>
      </c>
      <c r="AG4" s="50">
        <f t="shared" ref="AG4:AG6" si="9">AE4/AD4-1</f>
        <v>0.89744840410938043</v>
      </c>
      <c r="AH4" s="56"/>
    </row>
    <row r="5" spans="1:34" ht="16.5" x14ac:dyDescent="0.15">
      <c r="A5" s="35" t="s">
        <v>41</v>
      </c>
      <c r="B5" s="52"/>
      <c r="C5" s="53"/>
      <c r="D5" s="53"/>
      <c r="E5" s="54"/>
      <c r="F5" s="55"/>
      <c r="G5" s="55"/>
      <c r="H5" s="55"/>
      <c r="I5" s="55"/>
      <c r="J5" s="32" t="s">
        <v>47</v>
      </c>
      <c r="K5" s="39" t="s">
        <v>48</v>
      </c>
      <c r="L5" s="37" t="s">
        <v>49</v>
      </c>
      <c r="M5" s="37" t="s">
        <v>58</v>
      </c>
      <c r="N5" s="40" t="s">
        <v>59</v>
      </c>
      <c r="O5" s="41" t="s">
        <v>60</v>
      </c>
      <c r="P5" s="42">
        <v>17</v>
      </c>
      <c r="Q5" s="42" t="s">
        <v>53</v>
      </c>
      <c r="R5" s="43" t="s">
        <v>54</v>
      </c>
      <c r="S5" s="44">
        <v>157534</v>
      </c>
      <c r="T5" s="44">
        <f>80405*45%</f>
        <v>36182.25</v>
      </c>
      <c r="U5" s="44">
        <f t="shared" si="2"/>
        <v>21709.35</v>
      </c>
      <c r="V5" s="45"/>
      <c r="W5" s="44">
        <f t="shared" si="3"/>
        <v>70890.3</v>
      </c>
      <c r="X5" s="44">
        <f t="shared" si="4"/>
        <v>42534.18</v>
      </c>
      <c r="Y5" s="46"/>
      <c r="Z5" s="47">
        <f t="shared" si="5"/>
        <v>34708.050000000003</v>
      </c>
      <c r="AA5" s="47">
        <f t="shared" si="5"/>
        <v>20824.830000000002</v>
      </c>
      <c r="AB5" s="48">
        <f t="shared" si="0"/>
        <v>0.45</v>
      </c>
      <c r="AC5" s="48">
        <f t="shared" si="1"/>
        <v>0.27</v>
      </c>
      <c r="AD5" s="49">
        <f t="shared" si="6"/>
        <v>369058.94999999995</v>
      </c>
      <c r="AE5" s="49">
        <f t="shared" si="7"/>
        <v>723081.06</v>
      </c>
      <c r="AF5" s="49">
        <f t="shared" si="8"/>
        <v>354022.11000000004</v>
      </c>
      <c r="AG5" s="50">
        <f t="shared" si="9"/>
        <v>0.95925626515763995</v>
      </c>
      <c r="AH5" s="56"/>
    </row>
    <row r="6" spans="1:34" ht="16.5" x14ac:dyDescent="0.15">
      <c r="A6" s="35" t="s">
        <v>41</v>
      </c>
      <c r="B6" s="52"/>
      <c r="C6" s="53"/>
      <c r="D6" s="53"/>
      <c r="E6" s="54"/>
      <c r="F6" s="55"/>
      <c r="G6" s="55"/>
      <c r="H6" s="55"/>
      <c r="I6" s="55"/>
      <c r="J6" s="32" t="s">
        <v>47</v>
      </c>
      <c r="K6" s="39" t="s">
        <v>48</v>
      </c>
      <c r="L6" s="37">
        <v>920</v>
      </c>
      <c r="M6" s="37" t="s">
        <v>61</v>
      </c>
      <c r="N6" s="40" t="s">
        <v>62</v>
      </c>
      <c r="O6" s="41" t="s">
        <v>52</v>
      </c>
      <c r="P6" s="42">
        <v>82</v>
      </c>
      <c r="Q6" s="42" t="s">
        <v>53</v>
      </c>
      <c r="R6" s="43" t="s">
        <v>54</v>
      </c>
      <c r="S6" s="44">
        <v>74672</v>
      </c>
      <c r="T6" s="44">
        <f>42455*45%</f>
        <v>19104.75</v>
      </c>
      <c r="U6" s="44">
        <f t="shared" si="2"/>
        <v>11462.85</v>
      </c>
      <c r="V6" s="45"/>
      <c r="W6" s="44">
        <f t="shared" si="3"/>
        <v>33602.400000000001</v>
      </c>
      <c r="X6" s="44">
        <f t="shared" si="4"/>
        <v>20161.439999999999</v>
      </c>
      <c r="Y6" s="46"/>
      <c r="Z6" s="47">
        <f t="shared" si="5"/>
        <v>14497.650000000001</v>
      </c>
      <c r="AA6" s="47">
        <f t="shared" si="5"/>
        <v>8698.5899999999983</v>
      </c>
      <c r="AB6" s="48">
        <f t="shared" si="0"/>
        <v>0.45</v>
      </c>
      <c r="AC6" s="48">
        <f t="shared" si="1"/>
        <v>0.26999999999999996</v>
      </c>
      <c r="AD6" s="49">
        <f t="shared" si="6"/>
        <v>939953.70000000007</v>
      </c>
      <c r="AE6" s="49">
        <f t="shared" si="7"/>
        <v>1653238.0799999998</v>
      </c>
      <c r="AF6" s="49">
        <f t="shared" si="8"/>
        <v>713284.37999999989</v>
      </c>
      <c r="AG6" s="50">
        <f t="shared" si="9"/>
        <v>0.75885054763867599</v>
      </c>
      <c r="AH6" s="56"/>
    </row>
    <row r="7" spans="1:34" ht="16.5" x14ac:dyDescent="0.15">
      <c r="A7" s="35" t="s">
        <v>41</v>
      </c>
      <c r="B7" s="52"/>
      <c r="C7" s="53"/>
      <c r="D7" s="53"/>
      <c r="E7" s="54"/>
      <c r="F7" s="55"/>
      <c r="G7" s="55"/>
      <c r="H7" s="55"/>
      <c r="I7" s="55"/>
      <c r="J7" s="32" t="s">
        <v>47</v>
      </c>
      <c r="K7" s="39" t="s">
        <v>48</v>
      </c>
      <c r="L7" s="55"/>
      <c r="M7" s="53"/>
      <c r="N7" s="57"/>
      <c r="O7" s="41"/>
      <c r="P7" s="58"/>
      <c r="Q7" s="58"/>
      <c r="R7" s="43" t="s">
        <v>54</v>
      </c>
      <c r="S7" s="59"/>
      <c r="T7" s="59"/>
      <c r="U7" s="60"/>
      <c r="V7" s="53"/>
      <c r="W7" s="59"/>
      <c r="X7" s="60"/>
      <c r="Y7" s="54"/>
      <c r="Z7" s="61"/>
      <c r="AA7" s="61"/>
      <c r="AB7" s="48"/>
      <c r="AC7" s="48"/>
      <c r="AD7" s="49"/>
      <c r="AE7" s="49"/>
      <c r="AF7" s="49"/>
      <c r="AG7" s="62"/>
      <c r="AH7" s="56"/>
    </row>
    <row r="8" spans="1:34" ht="16.5" x14ac:dyDescent="0.15">
      <c r="A8" s="35" t="s">
        <v>41</v>
      </c>
      <c r="B8" s="52"/>
      <c r="C8" s="53"/>
      <c r="D8" s="53"/>
      <c r="E8" s="54"/>
      <c r="F8" s="55"/>
      <c r="G8" s="55"/>
      <c r="H8" s="55"/>
      <c r="I8" s="55"/>
      <c r="J8" s="32" t="s">
        <v>47</v>
      </c>
      <c r="K8" s="39" t="s">
        <v>48</v>
      </c>
      <c r="L8" s="55"/>
      <c r="M8" s="53"/>
      <c r="N8" s="57"/>
      <c r="O8" s="41"/>
      <c r="P8" s="58"/>
      <c r="Q8" s="58"/>
      <c r="R8" s="43" t="s">
        <v>54</v>
      </c>
      <c r="S8" s="59"/>
      <c r="T8" s="59"/>
      <c r="U8" s="60"/>
      <c r="V8" s="53"/>
      <c r="W8" s="59"/>
      <c r="X8" s="60"/>
      <c r="Y8" s="54"/>
      <c r="Z8" s="61"/>
      <c r="AA8" s="61"/>
      <c r="AB8" s="48"/>
      <c r="AC8" s="48"/>
      <c r="AD8" s="49"/>
      <c r="AE8" s="49"/>
      <c r="AF8" s="49"/>
      <c r="AG8" s="62"/>
      <c r="AH8" s="56"/>
    </row>
    <row r="9" spans="1:34" ht="16.5" x14ac:dyDescent="0.15">
      <c r="A9" s="35" t="s">
        <v>41</v>
      </c>
      <c r="B9" s="52"/>
      <c r="C9" s="53"/>
      <c r="D9" s="53"/>
      <c r="E9" s="54"/>
      <c r="F9" s="55"/>
      <c r="G9" s="55"/>
      <c r="H9" s="55"/>
      <c r="I9" s="55"/>
      <c r="J9" s="32" t="s">
        <v>47</v>
      </c>
      <c r="K9" s="39" t="s">
        <v>48</v>
      </c>
      <c r="L9" s="55"/>
      <c r="M9" s="53"/>
      <c r="N9" s="57"/>
      <c r="O9" s="41"/>
      <c r="P9" s="58"/>
      <c r="Q9" s="58"/>
      <c r="R9" s="43" t="s">
        <v>54</v>
      </c>
      <c r="S9" s="59"/>
      <c r="T9" s="59"/>
      <c r="U9" s="60"/>
      <c r="V9" s="53"/>
      <c r="W9" s="59"/>
      <c r="X9" s="60"/>
      <c r="Y9" s="54"/>
      <c r="Z9" s="61"/>
      <c r="AA9" s="61"/>
      <c r="AB9" s="48"/>
      <c r="AC9" s="48"/>
      <c r="AD9" s="49"/>
      <c r="AE9" s="49"/>
      <c r="AF9" s="49"/>
      <c r="AG9" s="62"/>
      <c r="AH9" s="51"/>
    </row>
    <row r="10" spans="1:34" ht="16.5" x14ac:dyDescent="0.15">
      <c r="A10" s="35" t="s">
        <v>41</v>
      </c>
      <c r="B10" s="52"/>
      <c r="C10" s="53"/>
      <c r="D10" s="53"/>
      <c r="E10" s="54"/>
      <c r="F10" s="55"/>
      <c r="G10" s="55"/>
      <c r="H10" s="55"/>
      <c r="I10" s="55"/>
      <c r="J10" s="32" t="s">
        <v>47</v>
      </c>
      <c r="K10" s="39" t="s">
        <v>48</v>
      </c>
      <c r="L10" s="55"/>
      <c r="M10" s="53"/>
      <c r="N10" s="57"/>
      <c r="O10" s="41"/>
      <c r="P10" s="58"/>
      <c r="Q10" s="58"/>
      <c r="R10" s="43" t="s">
        <v>54</v>
      </c>
      <c r="S10" s="59"/>
      <c r="T10" s="59"/>
      <c r="U10" s="60"/>
      <c r="V10" s="53"/>
      <c r="W10" s="59"/>
      <c r="X10" s="60"/>
      <c r="Y10" s="54"/>
      <c r="Z10" s="61"/>
      <c r="AA10" s="61"/>
      <c r="AB10" s="48"/>
      <c r="AC10" s="48"/>
      <c r="AD10" s="49"/>
      <c r="AE10" s="49"/>
      <c r="AF10" s="49"/>
      <c r="AG10" s="62"/>
      <c r="AH10" s="51"/>
    </row>
    <row r="11" spans="1:34" ht="16.5" x14ac:dyDescent="0.15">
      <c r="A11" s="35" t="s">
        <v>41</v>
      </c>
      <c r="B11" s="52"/>
      <c r="C11" s="53"/>
      <c r="D11" s="53"/>
      <c r="E11" s="54"/>
      <c r="F11" s="55"/>
      <c r="G11" s="55"/>
      <c r="H11" s="55"/>
      <c r="I11" s="55"/>
      <c r="J11" s="32" t="s">
        <v>47</v>
      </c>
      <c r="K11" s="39" t="s">
        <v>48</v>
      </c>
      <c r="L11" s="55"/>
      <c r="M11" s="53"/>
      <c r="N11" s="57"/>
      <c r="O11" s="41"/>
      <c r="P11" s="58"/>
      <c r="Q11" s="58"/>
      <c r="R11" s="43" t="s">
        <v>54</v>
      </c>
      <c r="S11" s="59"/>
      <c r="T11" s="59"/>
      <c r="U11" s="60"/>
      <c r="V11" s="53"/>
      <c r="W11" s="59"/>
      <c r="X11" s="60"/>
      <c r="Y11" s="54"/>
      <c r="Z11" s="61"/>
      <c r="AA11" s="61"/>
      <c r="AB11" s="48"/>
      <c r="AC11" s="48"/>
      <c r="AD11" s="49"/>
      <c r="AE11" s="49"/>
      <c r="AF11" s="49"/>
      <c r="AG11" s="62"/>
      <c r="AH11" s="51"/>
    </row>
    <row r="12" spans="1:34" ht="16.5" x14ac:dyDescent="0.15">
      <c r="A12" s="35" t="s">
        <v>41</v>
      </c>
      <c r="B12" s="52"/>
      <c r="C12" s="53"/>
      <c r="D12" s="53"/>
      <c r="E12" s="54"/>
      <c r="F12" s="55"/>
      <c r="G12" s="55"/>
      <c r="H12" s="55"/>
      <c r="I12" s="55"/>
      <c r="J12" s="32" t="s">
        <v>47</v>
      </c>
      <c r="K12" s="39" t="s">
        <v>48</v>
      </c>
      <c r="L12" s="55"/>
      <c r="M12" s="53"/>
      <c r="N12" s="57"/>
      <c r="O12" s="41"/>
      <c r="P12" s="58"/>
      <c r="Q12" s="58"/>
      <c r="R12" s="43" t="s">
        <v>54</v>
      </c>
      <c r="S12" s="59"/>
      <c r="T12" s="59"/>
      <c r="U12" s="60"/>
      <c r="V12" s="53"/>
      <c r="W12" s="59"/>
      <c r="X12" s="60"/>
      <c r="Y12" s="54"/>
      <c r="Z12" s="61"/>
      <c r="AA12" s="61"/>
      <c r="AB12" s="48"/>
      <c r="AC12" s="48"/>
      <c r="AD12" s="49"/>
      <c r="AE12" s="49"/>
      <c r="AF12" s="49"/>
      <c r="AG12" s="62"/>
      <c r="AH12" s="51"/>
    </row>
    <row r="13" spans="1:34" ht="16.5" x14ac:dyDescent="0.15">
      <c r="A13" s="35" t="s">
        <v>41</v>
      </c>
      <c r="B13" s="52"/>
      <c r="C13" s="53"/>
      <c r="D13" s="53"/>
      <c r="E13" s="54"/>
      <c r="F13" s="55"/>
      <c r="G13" s="55"/>
      <c r="H13" s="55"/>
      <c r="I13" s="55"/>
      <c r="J13" s="32" t="s">
        <v>47</v>
      </c>
      <c r="K13" s="39" t="s">
        <v>48</v>
      </c>
      <c r="L13" s="55"/>
      <c r="M13" s="53"/>
      <c r="N13" s="57"/>
      <c r="O13" s="41"/>
      <c r="P13" s="58"/>
      <c r="Q13" s="58"/>
      <c r="R13" s="43" t="s">
        <v>54</v>
      </c>
      <c r="S13" s="59"/>
      <c r="T13" s="59"/>
      <c r="U13" s="60"/>
      <c r="V13" s="53"/>
      <c r="W13" s="59"/>
      <c r="X13" s="60"/>
      <c r="Y13" s="54"/>
      <c r="Z13" s="61"/>
      <c r="AA13" s="61"/>
      <c r="AB13" s="48"/>
      <c r="AC13" s="48"/>
      <c r="AD13" s="49"/>
      <c r="AE13" s="49"/>
      <c r="AF13" s="49"/>
      <c r="AG13" s="62"/>
      <c r="AH13" s="51"/>
    </row>
    <row r="14" spans="1:34" ht="16.5" x14ac:dyDescent="0.15">
      <c r="A14" s="35" t="s">
        <v>41</v>
      </c>
      <c r="B14" s="52"/>
      <c r="C14" s="53"/>
      <c r="D14" s="53"/>
      <c r="E14" s="54"/>
      <c r="F14" s="55"/>
      <c r="G14" s="55"/>
      <c r="H14" s="55"/>
      <c r="I14" s="55"/>
      <c r="J14" s="32" t="s">
        <v>47</v>
      </c>
      <c r="K14" s="39" t="s">
        <v>48</v>
      </c>
      <c r="L14" s="55"/>
      <c r="M14" s="53"/>
      <c r="N14" s="57"/>
      <c r="O14" s="41"/>
      <c r="P14" s="58"/>
      <c r="Q14" s="58"/>
      <c r="R14" s="43" t="s">
        <v>54</v>
      </c>
      <c r="S14" s="59"/>
      <c r="T14" s="59"/>
      <c r="U14" s="60"/>
      <c r="V14" s="53"/>
      <c r="W14" s="59"/>
      <c r="X14" s="60"/>
      <c r="Y14" s="54"/>
      <c r="Z14" s="61"/>
      <c r="AA14" s="61"/>
      <c r="AB14" s="48"/>
      <c r="AC14" s="48"/>
      <c r="AD14" s="49"/>
      <c r="AE14" s="49"/>
      <c r="AF14" s="49"/>
      <c r="AG14" s="62"/>
      <c r="AH14" s="51"/>
    </row>
    <row r="15" spans="1:34" ht="16.5" x14ac:dyDescent="0.15">
      <c r="A15" s="35" t="s">
        <v>41</v>
      </c>
      <c r="B15" s="52"/>
      <c r="C15" s="53"/>
      <c r="D15" s="53"/>
      <c r="E15" s="54"/>
      <c r="F15" s="55"/>
      <c r="G15" s="55"/>
      <c r="H15" s="55"/>
      <c r="I15" s="55"/>
      <c r="J15" s="32" t="s">
        <v>47</v>
      </c>
      <c r="K15" s="39" t="s">
        <v>48</v>
      </c>
      <c r="L15" s="55"/>
      <c r="M15" s="53"/>
      <c r="N15" s="57"/>
      <c r="O15" s="41"/>
      <c r="P15" s="58"/>
      <c r="Q15" s="58"/>
      <c r="R15" s="43" t="s">
        <v>54</v>
      </c>
      <c r="S15" s="59"/>
      <c r="T15" s="59"/>
      <c r="U15" s="60"/>
      <c r="V15" s="53"/>
      <c r="W15" s="59"/>
      <c r="X15" s="60"/>
      <c r="Y15" s="54"/>
      <c r="Z15" s="61"/>
      <c r="AA15" s="61"/>
      <c r="AB15" s="48"/>
      <c r="AC15" s="48"/>
      <c r="AD15" s="49"/>
      <c r="AE15" s="49"/>
      <c r="AF15" s="49"/>
      <c r="AG15" s="62"/>
      <c r="AH15" s="51"/>
    </row>
    <row r="16" spans="1:34" ht="16.5" x14ac:dyDescent="0.15">
      <c r="A16" s="35" t="s">
        <v>41</v>
      </c>
      <c r="B16" s="52"/>
      <c r="C16" s="53"/>
      <c r="D16" s="53"/>
      <c r="E16" s="54"/>
      <c r="F16" s="55"/>
      <c r="G16" s="55"/>
      <c r="H16" s="55"/>
      <c r="I16" s="55"/>
      <c r="J16" s="32" t="s">
        <v>47</v>
      </c>
      <c r="K16" s="39" t="s">
        <v>48</v>
      </c>
      <c r="L16" s="55"/>
      <c r="M16" s="53"/>
      <c r="N16" s="57"/>
      <c r="O16" s="41"/>
      <c r="P16" s="58"/>
      <c r="Q16" s="58"/>
      <c r="R16" s="43" t="s">
        <v>54</v>
      </c>
      <c r="S16" s="59"/>
      <c r="T16" s="59"/>
      <c r="U16" s="60"/>
      <c r="V16" s="53"/>
      <c r="W16" s="59"/>
      <c r="X16" s="60"/>
      <c r="Y16" s="54"/>
      <c r="Z16" s="61"/>
      <c r="AA16" s="61"/>
      <c r="AB16" s="48"/>
      <c r="AC16" s="48"/>
      <c r="AD16" s="49"/>
      <c r="AE16" s="49"/>
      <c r="AF16" s="49"/>
      <c r="AG16" s="62"/>
      <c r="AH16" s="51"/>
    </row>
    <row r="17" spans="1:34" ht="16.5" x14ac:dyDescent="0.15">
      <c r="A17" s="35" t="s">
        <v>41</v>
      </c>
      <c r="B17" s="52"/>
      <c r="C17" s="53"/>
      <c r="D17" s="53"/>
      <c r="E17" s="54"/>
      <c r="F17" s="55"/>
      <c r="G17" s="55"/>
      <c r="H17" s="55"/>
      <c r="I17" s="55"/>
      <c r="J17" s="32" t="s">
        <v>47</v>
      </c>
      <c r="K17" s="39" t="s">
        <v>48</v>
      </c>
      <c r="L17" s="55"/>
      <c r="M17" s="53"/>
      <c r="N17" s="57"/>
      <c r="O17" s="41"/>
      <c r="P17" s="58"/>
      <c r="Q17" s="58"/>
      <c r="R17" s="43" t="s">
        <v>54</v>
      </c>
      <c r="S17" s="59"/>
      <c r="T17" s="59"/>
      <c r="U17" s="60"/>
      <c r="V17" s="53"/>
      <c r="W17" s="59"/>
      <c r="X17" s="60"/>
      <c r="Y17" s="54"/>
      <c r="Z17" s="61"/>
      <c r="AA17" s="61"/>
      <c r="AB17" s="48"/>
      <c r="AC17" s="48"/>
      <c r="AD17" s="49"/>
      <c r="AE17" s="49"/>
      <c r="AF17" s="49"/>
      <c r="AG17" s="62"/>
      <c r="AH17" s="51"/>
    </row>
    <row r="18" spans="1:34" ht="16.5" x14ac:dyDescent="0.15">
      <c r="A18" s="35" t="s">
        <v>41</v>
      </c>
      <c r="B18" s="52"/>
      <c r="C18" s="53"/>
      <c r="D18" s="53"/>
      <c r="E18" s="54"/>
      <c r="F18" s="55"/>
      <c r="G18" s="55"/>
      <c r="H18" s="55"/>
      <c r="I18" s="55"/>
      <c r="J18" s="32" t="s">
        <v>47</v>
      </c>
      <c r="K18" s="39" t="s">
        <v>48</v>
      </c>
      <c r="L18" s="55"/>
      <c r="M18" s="53"/>
      <c r="N18" s="57"/>
      <c r="O18" s="41"/>
      <c r="P18" s="58"/>
      <c r="Q18" s="58"/>
      <c r="R18" s="43" t="s">
        <v>54</v>
      </c>
      <c r="S18" s="59"/>
      <c r="T18" s="59"/>
      <c r="U18" s="60"/>
      <c r="V18" s="53"/>
      <c r="W18" s="59"/>
      <c r="X18" s="60"/>
      <c r="Y18" s="54"/>
      <c r="Z18" s="61"/>
      <c r="AA18" s="61"/>
      <c r="AB18" s="48"/>
      <c r="AC18" s="48"/>
      <c r="AD18" s="49"/>
      <c r="AE18" s="49"/>
      <c r="AF18" s="49"/>
      <c r="AG18" s="62"/>
      <c r="AH18" s="51"/>
    </row>
    <row r="19" spans="1:34" ht="16.5" x14ac:dyDescent="0.15">
      <c r="A19" s="35" t="s">
        <v>41</v>
      </c>
      <c r="B19" s="52"/>
      <c r="C19" s="53"/>
      <c r="D19" s="53"/>
      <c r="E19" s="54"/>
      <c r="F19" s="55"/>
      <c r="G19" s="55"/>
      <c r="H19" s="55"/>
      <c r="I19" s="55"/>
      <c r="J19" s="32" t="s">
        <v>47</v>
      </c>
      <c r="K19" s="39" t="s">
        <v>48</v>
      </c>
      <c r="L19" s="55"/>
      <c r="M19" s="53"/>
      <c r="N19" s="57"/>
      <c r="O19" s="41"/>
      <c r="P19" s="58"/>
      <c r="Q19" s="58"/>
      <c r="R19" s="43" t="s">
        <v>54</v>
      </c>
      <c r="S19" s="59"/>
      <c r="T19" s="59"/>
      <c r="U19" s="60"/>
      <c r="V19" s="53"/>
      <c r="W19" s="59"/>
      <c r="X19" s="60"/>
      <c r="Y19" s="54"/>
      <c r="Z19" s="61"/>
      <c r="AA19" s="61"/>
      <c r="AB19" s="48"/>
      <c r="AC19" s="48"/>
      <c r="AD19" s="49"/>
      <c r="AE19" s="49"/>
      <c r="AF19" s="49"/>
      <c r="AG19" s="62"/>
      <c r="AH19" s="51"/>
    </row>
    <row r="20" spans="1:34" ht="16.5" x14ac:dyDescent="0.15">
      <c r="A20" s="35" t="s">
        <v>41</v>
      </c>
      <c r="B20" s="52"/>
      <c r="C20" s="53"/>
      <c r="D20" s="53"/>
      <c r="E20" s="54"/>
      <c r="F20" s="55"/>
      <c r="G20" s="55"/>
      <c r="H20" s="55"/>
      <c r="I20" s="55"/>
      <c r="J20" s="32" t="s">
        <v>47</v>
      </c>
      <c r="K20" s="39" t="s">
        <v>48</v>
      </c>
      <c r="L20" s="55"/>
      <c r="M20" s="53"/>
      <c r="N20" s="57"/>
      <c r="O20" s="41"/>
      <c r="P20" s="58"/>
      <c r="Q20" s="58"/>
      <c r="R20" s="43" t="s">
        <v>54</v>
      </c>
      <c r="S20" s="59"/>
      <c r="T20" s="59"/>
      <c r="U20" s="60"/>
      <c r="V20" s="53"/>
      <c r="W20" s="59"/>
      <c r="X20" s="60"/>
      <c r="Y20" s="54"/>
      <c r="Z20" s="61"/>
      <c r="AA20" s="61"/>
      <c r="AB20" s="48"/>
      <c r="AC20" s="48"/>
      <c r="AD20" s="49"/>
      <c r="AE20" s="49"/>
      <c r="AF20" s="49"/>
      <c r="AG20" s="62"/>
      <c r="AH20" s="51"/>
    </row>
    <row r="21" spans="1:34" ht="16.5" x14ac:dyDescent="0.15">
      <c r="A21" s="35" t="s">
        <v>41</v>
      </c>
      <c r="B21" s="52"/>
      <c r="C21" s="53"/>
      <c r="D21" s="53"/>
      <c r="E21" s="54"/>
      <c r="F21" s="55"/>
      <c r="G21" s="55"/>
      <c r="H21" s="55"/>
      <c r="I21" s="55"/>
      <c r="J21" s="32" t="s">
        <v>47</v>
      </c>
      <c r="K21" s="39" t="s">
        <v>48</v>
      </c>
      <c r="L21" s="55"/>
      <c r="M21" s="53"/>
      <c r="N21" s="57"/>
      <c r="O21" s="41"/>
      <c r="P21" s="58"/>
      <c r="Q21" s="58"/>
      <c r="R21" s="43" t="s">
        <v>54</v>
      </c>
      <c r="S21" s="59"/>
      <c r="T21" s="59"/>
      <c r="U21" s="60"/>
      <c r="V21" s="53"/>
      <c r="W21" s="59"/>
      <c r="X21" s="60"/>
      <c r="Y21" s="54"/>
      <c r="Z21" s="61"/>
      <c r="AA21" s="61"/>
      <c r="AB21" s="48"/>
      <c r="AC21" s="48"/>
      <c r="AD21" s="49"/>
      <c r="AE21" s="49"/>
      <c r="AF21" s="49"/>
      <c r="AG21" s="62"/>
      <c r="AH21" s="51"/>
    </row>
    <row r="22" spans="1:34" ht="16.5" x14ac:dyDescent="0.15">
      <c r="A22" s="35" t="s">
        <v>41</v>
      </c>
      <c r="B22" s="52"/>
      <c r="C22" s="53"/>
      <c r="D22" s="53"/>
      <c r="E22" s="54"/>
      <c r="F22" s="55"/>
      <c r="G22" s="55"/>
      <c r="H22" s="55"/>
      <c r="I22" s="55"/>
      <c r="J22" s="32" t="s">
        <v>47</v>
      </c>
      <c r="K22" s="39" t="s">
        <v>48</v>
      </c>
      <c r="L22" s="55"/>
      <c r="M22" s="53"/>
      <c r="N22" s="57"/>
      <c r="O22" s="41"/>
      <c r="P22" s="58"/>
      <c r="Q22" s="58"/>
      <c r="R22" s="43" t="s">
        <v>54</v>
      </c>
      <c r="S22" s="59"/>
      <c r="T22" s="59"/>
      <c r="U22" s="60"/>
      <c r="V22" s="53"/>
      <c r="W22" s="59"/>
      <c r="X22" s="60"/>
      <c r="Y22" s="54"/>
      <c r="Z22" s="61"/>
      <c r="AA22" s="61"/>
      <c r="AB22" s="48"/>
      <c r="AC22" s="48"/>
      <c r="AD22" s="49"/>
      <c r="AE22" s="49"/>
      <c r="AF22" s="49"/>
      <c r="AG22" s="62"/>
      <c r="AH22" s="51"/>
    </row>
    <row r="23" spans="1:34" ht="16.5" x14ac:dyDescent="0.15">
      <c r="A23" s="35" t="s">
        <v>41</v>
      </c>
      <c r="B23" s="52"/>
      <c r="C23" s="53"/>
      <c r="D23" s="53"/>
      <c r="E23" s="54"/>
      <c r="F23" s="55"/>
      <c r="G23" s="55"/>
      <c r="H23" s="55"/>
      <c r="I23" s="55"/>
      <c r="J23" s="32" t="s">
        <v>47</v>
      </c>
      <c r="K23" s="39" t="s">
        <v>48</v>
      </c>
      <c r="L23" s="55"/>
      <c r="M23" s="53"/>
      <c r="N23" s="57"/>
      <c r="O23" s="41"/>
      <c r="P23" s="58"/>
      <c r="Q23" s="58"/>
      <c r="R23" s="43" t="s">
        <v>54</v>
      </c>
      <c r="S23" s="59"/>
      <c r="T23" s="59"/>
      <c r="U23" s="60"/>
      <c r="V23" s="53"/>
      <c r="W23" s="59"/>
      <c r="X23" s="60"/>
      <c r="Y23" s="54"/>
      <c r="Z23" s="61"/>
      <c r="AA23" s="61"/>
      <c r="AB23" s="48"/>
      <c r="AC23" s="48"/>
      <c r="AD23" s="49"/>
      <c r="AE23" s="49"/>
      <c r="AF23" s="49"/>
      <c r="AG23" s="62"/>
      <c r="AH23" s="51"/>
    </row>
    <row r="24" spans="1:34" ht="16.5" x14ac:dyDescent="0.15">
      <c r="A24" s="35" t="s">
        <v>41</v>
      </c>
      <c r="B24" s="52"/>
      <c r="C24" s="53"/>
      <c r="D24" s="53"/>
      <c r="E24" s="54"/>
      <c r="F24" s="55"/>
      <c r="G24" s="55"/>
      <c r="H24" s="55"/>
      <c r="I24" s="55"/>
      <c r="J24" s="32" t="s">
        <v>47</v>
      </c>
      <c r="K24" s="39" t="s">
        <v>48</v>
      </c>
      <c r="L24" s="55"/>
      <c r="M24" s="53"/>
      <c r="N24" s="57"/>
      <c r="O24" s="41"/>
      <c r="P24" s="58"/>
      <c r="Q24" s="58"/>
      <c r="R24" s="43" t="s">
        <v>54</v>
      </c>
      <c r="S24" s="59"/>
      <c r="T24" s="59"/>
      <c r="U24" s="60"/>
      <c r="V24" s="53"/>
      <c r="W24" s="59"/>
      <c r="X24" s="60"/>
      <c r="Y24" s="54"/>
      <c r="Z24" s="61"/>
      <c r="AA24" s="61"/>
      <c r="AB24" s="48"/>
      <c r="AC24" s="48"/>
      <c r="AD24" s="49"/>
      <c r="AE24" s="49"/>
      <c r="AF24" s="49"/>
      <c r="AG24" s="62"/>
      <c r="AH24" s="51"/>
    </row>
    <row r="25" spans="1:34" ht="16.5" x14ac:dyDescent="0.15">
      <c r="A25" s="35" t="s">
        <v>41</v>
      </c>
      <c r="B25" s="52"/>
      <c r="C25" s="53"/>
      <c r="D25" s="53"/>
      <c r="E25" s="54"/>
      <c r="F25" s="55"/>
      <c r="G25" s="55"/>
      <c r="H25" s="55"/>
      <c r="I25" s="55"/>
      <c r="J25" s="32" t="s">
        <v>47</v>
      </c>
      <c r="K25" s="39" t="s">
        <v>48</v>
      </c>
      <c r="L25" s="55"/>
      <c r="M25" s="53"/>
      <c r="N25" s="57"/>
      <c r="O25" s="41"/>
      <c r="P25" s="58"/>
      <c r="Q25" s="58"/>
      <c r="R25" s="43" t="s">
        <v>54</v>
      </c>
      <c r="S25" s="59"/>
      <c r="T25" s="59"/>
      <c r="U25" s="60"/>
      <c r="V25" s="53"/>
      <c r="W25" s="59"/>
      <c r="X25" s="60"/>
      <c r="Y25" s="54"/>
      <c r="Z25" s="61"/>
      <c r="AA25" s="61"/>
      <c r="AB25" s="48"/>
      <c r="AC25" s="48"/>
      <c r="AD25" s="49"/>
      <c r="AE25" s="49"/>
      <c r="AF25" s="49"/>
      <c r="AG25" s="62"/>
      <c r="AH25" s="51"/>
    </row>
    <row r="26" spans="1:34" ht="16.5" x14ac:dyDescent="0.15">
      <c r="A26" s="35" t="s">
        <v>41</v>
      </c>
      <c r="B26" s="52"/>
      <c r="C26" s="53"/>
      <c r="D26" s="53"/>
      <c r="E26" s="54"/>
      <c r="F26" s="55"/>
      <c r="G26" s="55"/>
      <c r="H26" s="55"/>
      <c r="I26" s="55"/>
      <c r="J26" s="32" t="s">
        <v>47</v>
      </c>
      <c r="K26" s="39" t="s">
        <v>48</v>
      </c>
      <c r="L26" s="55"/>
      <c r="M26" s="53"/>
      <c r="N26" s="57"/>
      <c r="O26" s="41"/>
      <c r="P26" s="58"/>
      <c r="Q26" s="58"/>
      <c r="R26" s="43" t="s">
        <v>54</v>
      </c>
      <c r="S26" s="59"/>
      <c r="T26" s="59"/>
      <c r="U26" s="60"/>
      <c r="V26" s="53"/>
      <c r="W26" s="59"/>
      <c r="X26" s="60"/>
      <c r="Y26" s="54"/>
      <c r="Z26" s="61"/>
      <c r="AA26" s="61"/>
      <c r="AB26" s="48"/>
      <c r="AC26" s="48"/>
      <c r="AD26" s="49"/>
      <c r="AE26" s="49"/>
      <c r="AF26" s="49"/>
      <c r="AG26" s="62"/>
      <c r="AH26" s="51"/>
    </row>
    <row r="27" spans="1:34" ht="16.5" x14ac:dyDescent="0.15">
      <c r="A27" s="35" t="s">
        <v>41</v>
      </c>
      <c r="B27" s="52"/>
      <c r="C27" s="53"/>
      <c r="D27" s="53"/>
      <c r="E27" s="54"/>
      <c r="F27" s="55"/>
      <c r="G27" s="55"/>
      <c r="H27" s="55"/>
      <c r="I27" s="63"/>
      <c r="J27" s="32" t="s">
        <v>47</v>
      </c>
      <c r="K27" s="39" t="s">
        <v>63</v>
      </c>
      <c r="L27" s="64"/>
      <c r="M27" s="65"/>
      <c r="N27" s="66"/>
      <c r="O27" s="67"/>
      <c r="P27" s="68"/>
      <c r="Q27" s="68"/>
      <c r="R27" s="43" t="s">
        <v>54</v>
      </c>
      <c r="S27" s="65"/>
      <c r="T27" s="65"/>
      <c r="U27" s="65"/>
      <c r="V27" s="65"/>
      <c r="W27" s="65"/>
      <c r="X27" s="65"/>
      <c r="Y27" s="65"/>
      <c r="Z27" s="69"/>
      <c r="AA27" s="69"/>
      <c r="AB27" s="70"/>
      <c r="AC27" s="70"/>
      <c r="AD27" s="49">
        <v>200000</v>
      </c>
      <c r="AE27" s="49">
        <v>200000</v>
      </c>
      <c r="AF27" s="49">
        <f>AE27-AD27</f>
        <v>0</v>
      </c>
      <c r="AG27" s="50">
        <f>AE27/AD27-1</f>
        <v>0</v>
      </c>
      <c r="AH27" s="51"/>
    </row>
    <row r="28" spans="1:34" ht="16.5" x14ac:dyDescent="0.15">
      <c r="A28" s="35" t="s">
        <v>41</v>
      </c>
      <c r="B28" s="52"/>
      <c r="C28" s="53"/>
      <c r="D28" s="53"/>
      <c r="E28" s="54"/>
      <c r="F28" s="55"/>
      <c r="G28" s="55"/>
      <c r="H28" s="55"/>
      <c r="I28" s="71"/>
      <c r="J28" s="32" t="s">
        <v>64</v>
      </c>
      <c r="K28" s="39" t="s">
        <v>64</v>
      </c>
      <c r="L28" s="64"/>
      <c r="M28" s="65"/>
      <c r="N28" s="66"/>
      <c r="O28" s="67"/>
      <c r="P28" s="68"/>
      <c r="Q28" s="68"/>
      <c r="R28" s="43" t="s">
        <v>54</v>
      </c>
      <c r="S28" s="65"/>
      <c r="T28" s="65"/>
      <c r="U28" s="65"/>
      <c r="V28" s="65"/>
      <c r="W28" s="65"/>
      <c r="X28" s="65"/>
      <c r="Y28" s="65"/>
      <c r="Z28" s="69"/>
      <c r="AA28" s="69"/>
      <c r="AB28" s="70"/>
      <c r="AC28" s="70"/>
      <c r="AD28" s="72">
        <v>1000000</v>
      </c>
      <c r="AE28" s="72">
        <v>1000000</v>
      </c>
      <c r="AF28" s="72">
        <f>AE28-AD28</f>
        <v>0</v>
      </c>
      <c r="AG28" s="73">
        <f>AE28/AD28-1</f>
        <v>0</v>
      </c>
      <c r="AH28" s="51"/>
    </row>
    <row r="29" spans="1:34" ht="16.5" x14ac:dyDescent="0.15">
      <c r="A29" s="32"/>
      <c r="B29" s="32"/>
      <c r="C29" s="32"/>
      <c r="D29" s="32"/>
      <c r="E29" s="32"/>
      <c r="F29" s="32"/>
      <c r="G29" s="32"/>
      <c r="H29" s="32"/>
      <c r="I29" s="32"/>
      <c r="J29" s="32" t="s">
        <v>65</v>
      </c>
      <c r="K29" s="32"/>
      <c r="L29" s="32"/>
      <c r="M29" s="74"/>
      <c r="N29" s="74"/>
      <c r="O29" s="74"/>
      <c r="P29" s="32"/>
      <c r="Q29" s="75"/>
      <c r="R29" s="43" t="s">
        <v>54</v>
      </c>
      <c r="S29" s="74"/>
      <c r="T29" s="76"/>
      <c r="U29" s="76"/>
      <c r="V29" s="74"/>
      <c r="W29" s="49"/>
      <c r="X29" s="77"/>
      <c r="Y29" s="74"/>
      <c r="Z29" s="61"/>
      <c r="AA29" s="61"/>
      <c r="AB29" s="48"/>
      <c r="AC29" s="48"/>
      <c r="AD29" s="72">
        <f>SUM(AD3:AD26)</f>
        <v>2376281.0699999998</v>
      </c>
      <c r="AE29" s="72">
        <f>SUM(AE3:AE26)</f>
        <v>4773473.0999999996</v>
      </c>
      <c r="AF29" s="72">
        <f>AE29-AD29</f>
        <v>2397192.0299999998</v>
      </c>
      <c r="AG29" s="73">
        <f>AE29/AD29-1</f>
        <v>1.0087998681065113</v>
      </c>
      <c r="AH29" s="51"/>
    </row>
  </sheetData>
  <mergeCells count="8">
    <mergeCell ref="AD1:AG1"/>
    <mergeCell ref="AH1:AH2"/>
    <mergeCell ref="B1:E1"/>
    <mergeCell ref="F1:J1"/>
    <mergeCell ref="K1:N1"/>
    <mergeCell ref="P1:Q1"/>
    <mergeCell ref="R1:Y1"/>
    <mergeCell ref="Z1:AC1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fanjiayuan (A)</dc:creator>
  <cp:lastModifiedBy>fanjiayuan (A)</cp:lastModifiedBy>
  <cp:lastPrinted>2006-01-19T03:50:08Z</cp:lastPrinted>
  <dcterms:created xsi:type="dcterms:W3CDTF">2003-11-11T03:59:45Z</dcterms:created>
  <dcterms:modified xsi:type="dcterms:W3CDTF">2026-05-14T11:03:38Z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